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96" yWindow="60" windowWidth="22932" windowHeight="9504"/>
  </bookViews>
  <sheets>
    <sheet name="Лист1" sheetId="1" r:id="rId1"/>
    <sheet name="Лист2" sheetId="2" r:id="rId2"/>
    <sheet name="Лист3" sheetId="3" r:id="rId3"/>
  </sheets>
  <calcPr calcId="124519"/>
</workbook>
</file>

<file path=xl/calcChain.xml><?xml version="1.0" encoding="utf-8"?>
<calcChain xmlns="http://schemas.openxmlformats.org/spreadsheetml/2006/main">
  <c r="H16" i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F13"/>
  <c r="G16" s="1"/>
  <c r="F16"/>
  <c r="H15" l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5"/>
  <c r="AJ13"/>
  <c r="H12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4"/>
  <c r="G12" s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<sst xmlns="http://schemas.openxmlformats.org/spreadsheetml/2006/main" count="13" uniqueCount="12">
  <si>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</si>
  <si>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</si>
  <si>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</si>
  <si>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</si>
  <si>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</si>
  <si>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</si>
  <si>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lamda</t>
  </si>
  <si>
    <t>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</si>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</sst>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2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1" xfId="0" applyNumberFormat="1" applyBorder="1"/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axId val="149347328"/>
        <c:axId val="149349120"/>
      </c:scatterChart>
      <c:valAx>
        <c:axId val="149347328"/>
        <c:scaling>
          <c:orientation val="minMax"/>
          <c:max val="0.1"/>
          <c:min val="0"/>
        </c:scaling>
        <c:axPos val="b"/>
        <c:numFmt formatCode="0.00" sourceLinked="0"/>
        <c:tickLblPos val="nextTo"/>
        <c:txPr>
          <a:bodyPr/>
          <a:lstStyle/>
          <a:p>
            <a:pPr>
              <a:defRPr sz="1200" b="1" i="1"/>
            </a:pPr>
            <a:endParaRPr lang="ru-RU"/>
          </a:p>
        </c:txPr>
        <c:crossAx val="149349120"/>
        <c:crosses val="autoZero"/>
        <c:crossBetween val="midCat"/>
      </c:valAx>
      <c:valAx>
        <c:axId val="149349120"/>
        <c:scaling>
          <c:orientation val="minMax"/>
          <c:max val="350"/>
          <c:min val="0"/>
        </c:scaling>
        <c:axPos val="l"/>
        <c:majorGridlines/>
        <c:numFmt formatCode="#,##0.0" sourceLinked="0"/>
        <c:tickLblPos val="nextTo"/>
        <c:crossAx val="149347328"/>
        <c:crosses val="autoZero"/>
        <c:crossBetween val="midCat"/>
      </c:valAx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100262</xdr:colOff>
      <xdr:row>16</xdr:row>
      <xdr:rowOff>110288</xdr:rowOff>
    </xdr:from>
    <xdr:to>
      <xdr:col>22</xdr:col>
      <xdr:colOff>431131</xdr:colOff>
      <xdr:row>41</xdr:row>
      <xdr:rowOff>170446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370976</xdr:colOff>
      <xdr:row>16</xdr:row>
      <xdr:rowOff>140367</xdr:rowOff>
    </xdr:from>
    <xdr:ext cx="651710" cy="342786"/>
    <xdr:sp macro="" textlink="">
      <xdr:nvSpPr>
        <xdr:cNvPr id="4" name="TextBox 3"/>
        <xdr:cNvSpPr txBox="1"/>
      </xdr:nvSpPr>
      <xdr:spPr>
        <a:xfrm>
          <a:off x="6436897" y="3027946"/>
          <a:ext cx="651710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600" b="1" i="1"/>
            <a:t>T, [C]</a:t>
          </a:r>
          <a:endParaRPr lang="ru-RU" sz="1600" b="1" i="1"/>
        </a:p>
      </xdr:txBody>
    </xdr:sp>
    <xdr:clientData/>
  </xdr:oneCellAnchor>
  <xdr:oneCellAnchor>
    <xdr:from>
      <xdr:col>21</xdr:col>
      <xdr:colOff>340894</xdr:colOff>
      <xdr:row>39</xdr:row>
      <xdr:rowOff>110290</xdr:rowOff>
    </xdr:from>
    <xdr:ext cx="711869" cy="342786"/>
    <xdr:sp macro="" textlink="">
      <xdr:nvSpPr>
        <xdr:cNvPr id="5" name="TextBox 4"/>
        <xdr:cNvSpPr txBox="1"/>
      </xdr:nvSpPr>
      <xdr:spPr>
        <a:xfrm>
          <a:off x="11319710" y="7198895"/>
          <a:ext cx="711869" cy="342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n-US" sz="1600" b="1" i="1"/>
            <a:t>L, [m]</a:t>
          </a:r>
          <a:endParaRPr lang="ru-RU" sz="1600" b="1" i="1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3:AJ23"/>
  <sheetViews>
    <sheetView tabSelected="1" zoomScale="76" zoomScaleNormal="76" workbookViewId="0">
      <selection activeCell="AB39" sqref="AB39"/>
    </sheetView>
  </sheetViews>
  <sheetFormatPr defaultRowHeight="14.4"/>
  <cols>
    <col min="3" max="3" width="9.77734375" bestFit="1" customWidth="1"/>
    <col min="6" max="36" width="7.109375" bestFit="1" customWidth="1"/>
  </cols>
  <sheetData>
    <row r="3" spans="2:36">
      <c r="B3" s="2" t="s">
        <v>0</v>
      </c>
      <c r="C3" s="5">
        <v>0.1</v>
      </c>
    </row>
    <row r="4" spans="2:36">
      <c r="B4" s="2" t="s">
        <v>1</v>
      </c>
      <c r="C4" s="6">
        <f>C3/30</f>
        <v>3.3333333333333335E-3</v>
      </c>
    </row>
    <row r="5" spans="2:36">
      <c r="B5" s="2" t="s">
        <v>2</v>
      </c>
      <c r="C5" s="6">
        <f>(C9*C8*C4^2)/(2*C10)</f>
        <v>0.4333333333333334</v>
      </c>
    </row>
    <row r="6" spans="2:36">
      <c r="B6" s="2" t="s">
        <v>3</v>
      </c>
      <c r="C6" s="7">
        <v>5000</v>
      </c>
      <c r="D6">
        <v>5000.2333333333345</v>
      </c>
    </row>
    <row r="7" spans="2:36">
      <c r="B7" s="1"/>
      <c r="C7" s="1"/>
    </row>
    <row r="8" spans="2:36">
      <c r="B8" s="2" t="s">
        <v>4</v>
      </c>
      <c r="C8" s="7">
        <v>460</v>
      </c>
    </row>
    <row r="9" spans="2:36">
      <c r="B9" s="2" t="s">
        <v>5</v>
      </c>
      <c r="C9" s="7">
        <v>7800</v>
      </c>
    </row>
    <row r="10" spans="2:36">
      <c r="B10" s="2" t="s">
        <v>6</v>
      </c>
      <c r="C10" s="7">
        <v>46</v>
      </c>
    </row>
    <row r="11" spans="2:36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>
      <c r="B12" s="2" t="s">
        <v>11</v>
      </c>
      <c r="C12" s="2">
        <v>92000</v>
      </c>
      <c r="E12" t="s">
        <v>0</v>
      </c>
      <c r="F12" s="3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>
      <c r="B13" s="2" t="s">
        <v>8</v>
      </c>
      <c r="C13" s="2">
        <v>100</v>
      </c>
      <c r="E13" t="s">
        <v>7</v>
      </c>
      <c r="F13" s="1">
        <f>(F16/C10)*C4+G13</f>
        <v>299.99997763108735</v>
      </c>
      <c r="G13" s="1">
        <v>293.33331096442066</v>
      </c>
      <c r="H13" s="1">
        <v>286.6666443611611</v>
      </c>
      <c r="I13" s="1">
        <v>279.99997782112894</v>
      </c>
      <c r="J13" s="1">
        <v>273.33331134396514</v>
      </c>
      <c r="K13" s="1">
        <v>266.66664492913264</v>
      </c>
      <c r="L13" s="1">
        <v>259.99997857591751</v>
      </c>
      <c r="M13" s="1">
        <v>253.3333122834313</v>
      </c>
      <c r="N13" s="1">
        <v>246.66664605061328</v>
      </c>
      <c r="O13" s="1">
        <v>239.99997987623377</v>
      </c>
      <c r="P13" s="1">
        <v>233.33331375889719</v>
      </c>
      <c r="Q13" s="1">
        <v>226.66664769704656</v>
      </c>
      <c r="R13" s="1">
        <v>219.9999816889673</v>
      </c>
      <c r="S13" s="1">
        <v>213.33331573279273</v>
      </c>
      <c r="T13" s="1">
        <v>206.66664982650872</v>
      </c>
      <c r="U13" s="1">
        <v>199.99998396796005</v>
      </c>
      <c r="V13" s="1">
        <v>193.33331815485587</v>
      </c>
      <c r="W13" s="1">
        <v>186.6666523847768</v>
      </c>
      <c r="X13" s="1">
        <v>179.99998665518126</v>
      </c>
      <c r="Y13" s="1">
        <v>173.33332096341309</v>
      </c>
      <c r="Z13" s="1">
        <v>166.66665530670878</v>
      </c>
      <c r="AA13" s="1">
        <v>159.9999896822055</v>
      </c>
      <c r="AB13" s="1">
        <v>153.33332408694912</v>
      </c>
      <c r="AC13" s="1">
        <v>146.66665851790265</v>
      </c>
      <c r="AD13" s="1">
        <v>139.99999297195473</v>
      </c>
      <c r="AE13" s="1">
        <v>133.33332744592857</v>
      </c>
      <c r="AF13" s="1">
        <v>126.66666193659087</v>
      </c>
      <c r="AG13" s="1">
        <v>119.99999644066111</v>
      </c>
      <c r="AH13" s="1">
        <v>113.3333309548207</v>
      </c>
      <c r="AI13" s="1">
        <v>106.66666547572241</v>
      </c>
      <c r="AJ13" s="1">
        <f>C13</f>
        <v>100</v>
      </c>
    </row>
    <row r="15" spans="2:36">
      <c r="E15" t="s">
        <v>9</v>
      </c>
      <c r="G15" s="1">
        <f>G13+(($C$10*$C$5)/($C$9*$C$8))*((H13-2*G13+F13)/($C$4^2))</f>
        <v>293.33331099612423</v>
      </c>
      <c r="H15" s="1">
        <f t="shared" ref="H15:AI15" si="1">H13+(($C$10*$C$5)/($C$9*$C$8))*((I13-2*H13+G13)/($C$4^2))</f>
        <v>286.6666443927748</v>
      </c>
      <c r="I15" s="1">
        <f t="shared" si="1"/>
        <v>279.99997785256312</v>
      </c>
      <c r="J15" s="1">
        <f t="shared" si="1"/>
        <v>273.33331137513079</v>
      </c>
      <c r="K15" s="1">
        <f t="shared" si="1"/>
        <v>266.66664495994132</v>
      </c>
      <c r="L15" s="1">
        <f t="shared" si="1"/>
        <v>259.99997860628196</v>
      </c>
      <c r="M15" s="1">
        <f t="shared" si="1"/>
        <v>253.3333123132654</v>
      </c>
      <c r="N15" s="1">
        <f t="shared" si="1"/>
        <v>246.66664607983253</v>
      </c>
      <c r="O15" s="1">
        <f t="shared" si="1"/>
        <v>239.99997990475524</v>
      </c>
      <c r="P15" s="1">
        <f t="shared" si="1"/>
        <v>233.33331378664016</v>
      </c>
      <c r="Q15" s="1">
        <f t="shared" si="1"/>
        <v>226.66664772393224</v>
      </c>
      <c r="R15" s="1">
        <f t="shared" si="1"/>
        <v>219.99998171491964</v>
      </c>
      <c r="S15" s="1">
        <f t="shared" si="1"/>
        <v>213.33331575773801</v>
      </c>
      <c r="T15" s="1">
        <f t="shared" si="1"/>
        <v>206.66664985037639</v>
      </c>
      <c r="U15" s="1">
        <f t="shared" si="1"/>
        <v>199.9999839906823</v>
      </c>
      <c r="V15" s="1">
        <f t="shared" si="1"/>
        <v>193.33331817636844</v>
      </c>
      <c r="W15" s="1">
        <f t="shared" si="1"/>
        <v>186.66665240501857</v>
      </c>
      <c r="X15" s="1">
        <f t="shared" si="1"/>
        <v>179.99998667409494</v>
      </c>
      <c r="Y15" s="1">
        <f t="shared" si="1"/>
        <v>173.33332098094502</v>
      </c>
      <c r="Z15" s="1">
        <f t="shared" si="1"/>
        <v>166.66665532280928</v>
      </c>
      <c r="AA15" s="1">
        <f t="shared" si="1"/>
        <v>159.99998969682895</v>
      </c>
      <c r="AB15" s="1">
        <f t="shared" si="1"/>
        <v>153.33332410005409</v>
      </c>
      <c r="AC15" s="1">
        <f t="shared" si="1"/>
        <v>146.66665852945192</v>
      </c>
      <c r="AD15" s="1">
        <f t="shared" si="1"/>
        <v>139.99999298191563</v>
      </c>
      <c r="AE15" s="1">
        <f t="shared" si="1"/>
        <v>133.33332745427279</v>
      </c>
      <c r="AF15" s="1">
        <f t="shared" si="1"/>
        <v>126.66666194329484</v>
      </c>
      <c r="AG15" s="1">
        <f t="shared" si="1"/>
        <v>119.99999644570579</v>
      </c>
      <c r="AH15" s="1">
        <f t="shared" si="1"/>
        <v>113.33333095819177</v>
      </c>
      <c r="AI15" s="1">
        <f t="shared" si="1"/>
        <v>106.66666547741035</v>
      </c>
    </row>
    <row r="16" spans="2:36">
      <c r="E16" t="s">
        <v>10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  <row r="23" spans="26:26" ht="18">
      <c r="Z23" s="8"/>
    </row>
  </sheetData>
  <conditionalFormatting sqref="F13:AJ13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oleObjects>
    <oleObject progId="Equation.3" shapeId="1025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2021-09-15T09:20:13Z</dcterms:created>
  <dcterms:modified xsi:type="dcterms:W3CDTF">2021-09-15T13:40:03Z</dcterms:modified>
</cp:coreProperties>
</file>
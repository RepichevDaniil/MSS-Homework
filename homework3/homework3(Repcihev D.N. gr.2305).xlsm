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ml.chartshapes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ЭтаКнига"/>
  <bookViews>
    <workbookView xWindow="-120" yWindow="-120" windowWidth="20736" windowHeight="11316"/>
  </bookViews>
  <sheets>
    <sheet name="Явная схема" sheetId="1" r:id="rId1"/>
    <sheet name="Неявная схема" sheetId="4" r:id="rId2"/>
  </sheet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/>
  <c r="C5" i="4" l="1"/>
  <c r="AH22" s="1"/>
  <c r="F21"/>
  <c r="AJ16"/>
  <c r="AJ13"/>
  <c r="F13"/>
  <c r="C4"/>
  <c r="C15" s="1"/>
  <c r="C16" l="1"/>
  <c r="C17"/>
  <c r="G22"/>
  <c r="K22"/>
  <c r="O22"/>
  <c r="S22"/>
  <c r="W22"/>
  <c r="AA22"/>
  <c r="AE22"/>
  <c r="AI22"/>
  <c r="H22"/>
  <c r="L22"/>
  <c r="P22"/>
  <c r="T22"/>
  <c r="X22"/>
  <c r="AB22"/>
  <c r="AF22"/>
  <c r="AG22"/>
  <c r="I22"/>
  <c r="M22"/>
  <c r="Q22"/>
  <c r="U22"/>
  <c r="Y22"/>
  <c r="AC22"/>
  <c r="G12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F22"/>
  <c r="J22"/>
  <c r="N22"/>
  <c r="R22"/>
  <c r="V22"/>
  <c r="Z22"/>
  <c r="AD22"/>
  <c r="H16" i="1"/>
  <c r="G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AJ13"/>
  <c r="F13"/>
  <c r="G12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C4"/>
  <c r="G21" i="4" l="1"/>
  <c r="G20"/>
  <c r="H20" s="1"/>
  <c r="I20" l="1"/>
  <c r="H21"/>
  <c r="I21" s="1"/>
  <c r="J21" l="1"/>
  <c r="J20"/>
  <c r="K20" l="1"/>
  <c r="K21"/>
  <c r="L21" l="1"/>
  <c r="L20"/>
  <c r="M20" l="1"/>
  <c r="M21"/>
  <c r="N21" l="1"/>
  <c r="N20"/>
  <c r="O20" l="1"/>
  <c r="O21"/>
  <c r="P21" l="1"/>
  <c r="P20"/>
  <c r="Q20" l="1"/>
  <c r="Q21"/>
  <c r="R21" l="1"/>
  <c r="R20"/>
  <c r="S20" l="1"/>
  <c r="S21"/>
  <c r="T21" l="1"/>
  <c r="T20"/>
  <c r="U21" l="1"/>
  <c r="U20"/>
  <c r="V20" l="1"/>
  <c r="V21"/>
  <c r="W21" l="1"/>
  <c r="W20"/>
  <c r="X20" l="1"/>
  <c r="X21"/>
  <c r="Y21" l="1"/>
  <c r="Y20"/>
  <c r="Z21" l="1"/>
  <c r="Z20"/>
  <c r="AA20" l="1"/>
  <c r="AA21"/>
  <c r="AB21" l="1"/>
  <c r="AB20"/>
  <c r="AC20" l="1"/>
  <c r="AC21"/>
  <c r="AD21" l="1"/>
  <c r="AD20"/>
  <c r="AE20" l="1"/>
  <c r="AE21"/>
  <c r="AF21" l="1"/>
  <c r="AF20"/>
  <c r="AG20" l="1"/>
  <c r="AG21"/>
  <c r="AH20" l="1"/>
  <c r="AH21"/>
  <c r="AI21" l="1"/>
  <c r="AI20"/>
  <c r="AI16" l="1"/>
  <c r="AH16" s="1"/>
  <c r="AG16" s="1"/>
  <c r="AF16" s="1"/>
  <c r="AE16" s="1"/>
  <c r="AD16" s="1"/>
  <c r="AC16" s="1"/>
  <c r="AB16" s="1"/>
  <c r="AA16" s="1"/>
  <c r="Z16" s="1"/>
  <c r="Y16" s="1"/>
  <c r="X16" s="1"/>
  <c r="W16" s="1"/>
  <c r="V16" s="1"/>
  <c r="U16" s="1"/>
  <c r="T16" s="1"/>
  <c r="S16" s="1"/>
  <c r="R16" s="1"/>
  <c r="Q16" s="1"/>
  <c r="P16" s="1"/>
  <c r="O16" s="1"/>
  <c r="N16" s="1"/>
  <c r="M16" s="1"/>
  <c r="L16" s="1"/>
  <c r="K16" s="1"/>
  <c r="J16" s="1"/>
  <c r="I16" s="1"/>
  <c r="H16" s="1"/>
  <c r="G16" s="1"/>
</calcChain>
</file>

<file path=xl/sharedStrings.xml><?xml version="1.0" encoding="utf-8"?>
<sst xmlns="http://schemas.openxmlformats.org/spreadsheetml/2006/main" count="31" uniqueCount="18">
  <si>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</si>
  <si>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</si>
  <si>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</si>
  <si>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</si>
  <si>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</si>
  <si>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</si>
  <si>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</si>
  <si>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</si>
  <si>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</si>
  <si>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</si>
  <si>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</si>
  <si>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q</t>
  </si>
  <si>
    <t>A</t>
  </si>
  <si>
    <t>B</t>
  </si>
  <si>
    <t>C</t>
  </si>
  <si>
    <t>α</t>
  </si>
  <si>
    <t>betta</t>
  </si>
  <si>
    <t>F</t>
  </si>
</sst>
</file>

<file path=xl/styles.xml><?xml version="1.0" encoding="utf-8"?>
<styleSheet xmlns="http://schemas.openxmlformats.org/spreadsheetml/2006/main">
  <numFmts count="2">
    <numFmt numFmtId="164" formatCode="0.00000"/>
    <numFmt numFmtId="165" formatCode="0.E+00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Alignment="1">
      <alignment horizontal="center"/>
    </xf>
    <xf numFmtId="165" fontId="0" fillId="0" borderId="0" xfId="0" applyNumberFormat="1"/>
    <xf numFmtId="0" fontId="1" fillId="0" borderId="0" xfId="0" applyFon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A44-4446-AF34-DB2DB1052EE1}"/>
            </c:ext>
          </c:extLst>
        </c:ser>
        <c:dLbls/>
        <c:axId val="112311680"/>
        <c:axId val="150869120"/>
      </c:scatterChart>
      <c:valAx>
        <c:axId val="112311680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869120"/>
        <c:crosses val="autoZero"/>
        <c:crossBetween val="midCat"/>
      </c:valAx>
      <c:valAx>
        <c:axId val="15086912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31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280.19510025568002</c:v>
                </c:pt>
                <c:pt idx="2">
                  <c:v>260.55855364763556</c:v>
                </c:pt>
                <c:pt idx="3">
                  <c:v>241.25563913719253</c:v>
                </c:pt>
                <c:pt idx="4">
                  <c:v>222.44559091154764</c:v>
                </c:pt>
                <c:pt idx="5">
                  <c:v>204.27882912954198</c:v>
                </c:pt>
                <c:pt idx="6">
                  <c:v>186.89447860086148</c:v>
                </c:pt>
                <c:pt idx="7">
                  <c:v>170.4182462591217</c:v>
                </c:pt>
                <c:pt idx="8">
                  <c:v>154.96070916264765</c:v>
                </c:pt>
                <c:pt idx="9">
                  <c:v>140.61604360236433</c:v>
                </c:pt>
                <c:pt idx="10">
                  <c:v>127.4612041899754</c:v>
                </c:pt>
                <c:pt idx="11">
                  <c:v>115.55554099909341</c:v>
                </c:pt>
                <c:pt idx="12">
                  <c:v>104.94082425845797</c:v>
                </c:pt>
                <c:pt idx="13">
                  <c:v>95.641630832985172</c:v>
                </c:pt>
                <c:pt idx="14">
                  <c:v>87.666035543430496</c:v>
                </c:pt>
                <c:pt idx="15">
                  <c:v>81.006543676739355</c:v>
                </c:pt>
                <c:pt idx="16">
                  <c:v>75.641198862492473</c:v>
                </c:pt>
                <c:pt idx="17">
                  <c:v>71.534802521890626</c:v>
                </c:pt>
                <c:pt idx="18">
                  <c:v>68.640186721754901</c:v>
                </c:pt>
                <c:pt idx="19">
                  <c:v>66.899490651097665</c:v>
                </c:pt>
                <c:pt idx="20">
                  <c:v>66.245401113093095</c:v>
                </c:pt>
                <c:pt idx="21">
                  <c:v>66.602328385142783</c:v>
                </c:pt>
                <c:pt idx="22">
                  <c:v>67.887499594531619</c:v>
                </c:pt>
                <c:pt idx="23">
                  <c:v>70.01196157385391</c:v>
                </c:pt>
                <c:pt idx="24">
                  <c:v>72.881493384260949</c:v>
                </c:pt>
                <c:pt idx="25">
                  <c:v>76.397434947314252</c:v>
                </c:pt>
                <c:pt idx="26">
                  <c:v>80.457442377916465</c:v>
                </c:pt>
                <c:pt idx="27">
                  <c:v>84.956182766306043</c:v>
                </c:pt>
                <c:pt idx="28">
                  <c:v>89.785981619509357</c:v>
                </c:pt>
                <c:pt idx="29">
                  <c:v>94.837435388485503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946-4FC2-AB5E-BF82D52663B2}"/>
            </c:ext>
          </c:extLst>
        </c:ser>
        <c:dLbls/>
        <c:axId val="150930560"/>
        <c:axId val="150932096"/>
      </c:scatterChart>
      <c:valAx>
        <c:axId val="150930560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932096"/>
        <c:crosses val="autoZero"/>
        <c:crossBetween val="midCat"/>
      </c:valAx>
      <c:valAx>
        <c:axId val="15093209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93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tx>
            <c:v>Неявная схема</c:v>
          </c:tx>
          <c:spPr>
            <a:ln w="53975" cap="rnd">
              <a:solidFill>
                <a:schemeClr val="accent6">
                  <a:lumMod val="75000"/>
                </a:schemeClr>
              </a:solidFill>
              <a:prstDash val="dashDot"/>
              <a:round/>
              <a:headEnd w="med" len="lg"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280.19510025568002</c:v>
                </c:pt>
                <c:pt idx="2">
                  <c:v>260.55855364763556</c:v>
                </c:pt>
                <c:pt idx="3">
                  <c:v>241.25563913719253</c:v>
                </c:pt>
                <c:pt idx="4">
                  <c:v>222.44559091154764</c:v>
                </c:pt>
                <c:pt idx="5">
                  <c:v>204.27882912954198</c:v>
                </c:pt>
                <c:pt idx="6">
                  <c:v>186.89447860086148</c:v>
                </c:pt>
                <c:pt idx="7">
                  <c:v>170.4182462591217</c:v>
                </c:pt>
                <c:pt idx="8">
                  <c:v>154.96070916264765</c:v>
                </c:pt>
                <c:pt idx="9">
                  <c:v>140.61604360236433</c:v>
                </c:pt>
                <c:pt idx="10">
                  <c:v>127.4612041899754</c:v>
                </c:pt>
                <c:pt idx="11">
                  <c:v>115.55554099909341</c:v>
                </c:pt>
                <c:pt idx="12">
                  <c:v>104.94082425845797</c:v>
                </c:pt>
                <c:pt idx="13">
                  <c:v>95.641630832985172</c:v>
                </c:pt>
                <c:pt idx="14">
                  <c:v>87.666035543430496</c:v>
                </c:pt>
                <c:pt idx="15">
                  <c:v>81.006543676739355</c:v>
                </c:pt>
                <c:pt idx="16">
                  <c:v>75.641198862492473</c:v>
                </c:pt>
                <c:pt idx="17">
                  <c:v>71.534802521890626</c:v>
                </c:pt>
                <c:pt idx="18">
                  <c:v>68.640186721754901</c:v>
                </c:pt>
                <c:pt idx="19">
                  <c:v>66.899490651097665</c:v>
                </c:pt>
                <c:pt idx="20">
                  <c:v>66.245401113093095</c:v>
                </c:pt>
                <c:pt idx="21">
                  <c:v>66.602328385142783</c:v>
                </c:pt>
                <c:pt idx="22">
                  <c:v>67.887499594531619</c:v>
                </c:pt>
                <c:pt idx="23">
                  <c:v>70.01196157385391</c:v>
                </c:pt>
                <c:pt idx="24">
                  <c:v>72.881493384260949</c:v>
                </c:pt>
                <c:pt idx="25">
                  <c:v>76.397434947314252</c:v>
                </c:pt>
                <c:pt idx="26">
                  <c:v>80.457442377916465</c:v>
                </c:pt>
                <c:pt idx="27">
                  <c:v>84.956182766306043</c:v>
                </c:pt>
                <c:pt idx="28">
                  <c:v>89.785981619509357</c:v>
                </c:pt>
                <c:pt idx="29">
                  <c:v>94.837435388485503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451-4B7E-AB6D-88C7A12D99DA}"/>
            </c:ext>
          </c:extLst>
        </c:ser>
        <c:ser>
          <c:idx val="1"/>
          <c:order val="1"/>
          <c:tx>
            <c:v>Явная схема</c:v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451-4B7E-AB6D-88C7A12D99DA}"/>
            </c:ext>
          </c:extLst>
        </c:ser>
        <c:dLbls/>
        <c:axId val="151167360"/>
        <c:axId val="151168896"/>
      </c:scatterChart>
      <c:valAx>
        <c:axId val="151167360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168896"/>
        <c:crosses val="autoZero"/>
        <c:crossBetween val="midCat"/>
      </c:valAx>
      <c:valAx>
        <c:axId val="15116889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16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247649</xdr:colOff>
      <xdr:row>17</xdr:row>
      <xdr:rowOff>144606</xdr:rowOff>
    </xdr:from>
    <xdr:to>
      <xdr:col>12</xdr:col>
      <xdr:colOff>100445</xdr:colOff>
      <xdr:row>43</xdr:row>
      <xdr:rowOff>96115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46A7FCA1-F4A2-456B-8A8A-41F2B9AEA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297571</xdr:colOff>
      <xdr:row>18</xdr:row>
      <xdr:rowOff>60500</xdr:rowOff>
    </xdr:from>
    <xdr:ext cx="567133" cy="28180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83AA430D-DAE7-4EFC-B42A-FED0E3ADF000}"/>
            </a:ext>
          </a:extLst>
        </xdr:cNvPr>
        <xdr:cNvSpPr txBox="1"/>
      </xdr:nvSpPr>
      <xdr:spPr>
        <a:xfrm>
          <a:off x="3345571" y="3318050"/>
          <a:ext cx="567133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0" i="0">
              <a:latin typeface="Cambria Math" panose="02040503050406030204" pitchFamily="18" charset="0"/>
            </a:rPr>
            <a:t>𝑇,[𝐶]</a:t>
          </a:r>
          <a:endParaRPr lang="ru-RU" sz="1800"/>
        </a:p>
      </xdr:txBody>
    </xdr:sp>
    <xdr:clientData/>
  </xdr:oneCellAnchor>
  <xdr:oneCellAnchor>
    <xdr:from>
      <xdr:col>11</xdr:col>
      <xdr:colOff>272357</xdr:colOff>
      <xdr:row>41</xdr:row>
      <xdr:rowOff>43130</xdr:rowOff>
    </xdr:from>
    <xdr:ext cx="567133" cy="281808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AAC513B5-F1E9-45AE-AFED-1B07C3A3E5DC}"/>
            </a:ext>
          </a:extLst>
        </xdr:cNvPr>
        <xdr:cNvSpPr txBox="1"/>
      </xdr:nvSpPr>
      <xdr:spPr>
        <a:xfrm>
          <a:off x="7225607" y="7463105"/>
          <a:ext cx="567133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0"/>
            <a:t>L</a:t>
          </a:r>
          <a:r>
            <a:rPr lang="en-US" sz="1800" b="0" i="0">
              <a:latin typeface="Cambria Math" panose="02040503050406030204" pitchFamily="18" charset="0"/>
            </a:rPr>
            <a:t>,[𝑚]</a:t>
          </a:r>
          <a:endParaRPr lang="ru-RU" sz="18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5E992BC7-28DD-41A3-A9AE-AC2DFC1E3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68B9E3AF-9F4A-4C1D-8D4B-D1F20765C1FD}"/>
            </a:ext>
          </a:extLst>
        </xdr:cNvPr>
        <xdr:cNvSpPr txBox="1"/>
      </xdr:nvSpPr>
      <xdr:spPr>
        <a:xfrm>
          <a:off x="3383671" y="4375325"/>
          <a:ext cx="567133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0" i="0">
              <a:latin typeface="Cambria Math" panose="02040503050406030204" pitchFamily="18" charset="0"/>
            </a:rPr>
            <a:t>𝑇,[𝐶]</a:t>
          </a:r>
          <a:endParaRPr lang="ru-RU" sz="1800"/>
        </a:p>
      </xdr:txBody>
    </xdr:sp>
    <xdr:clientData/>
  </xdr:oneCellAnchor>
  <xdr:oneCellAnchor>
    <xdr:from>
      <xdr:col>11</xdr:col>
      <xdr:colOff>129482</xdr:colOff>
      <xdr:row>46</xdr:row>
      <xdr:rowOff>157430</xdr:rowOff>
    </xdr:from>
    <xdr:ext cx="567133" cy="281808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79FF46F7-2C53-4D98-B2DC-E8836DC589C0}"/>
            </a:ext>
          </a:extLst>
        </xdr:cNvPr>
        <xdr:cNvSpPr txBox="1"/>
      </xdr:nvSpPr>
      <xdr:spPr>
        <a:xfrm>
          <a:off x="7301807" y="8920430"/>
          <a:ext cx="567133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0"/>
            <a:t>L</a:t>
          </a:r>
          <a:r>
            <a:rPr lang="en-US" sz="1800" b="0" i="0">
              <a:latin typeface="Cambria Math" panose="02040503050406030204" pitchFamily="18" charset="0"/>
            </a:rPr>
            <a:t>,[𝑚]</a:t>
          </a:r>
          <a:endParaRPr lang="ru-RU" sz="1800"/>
        </a:p>
      </xdr:txBody>
    </xdr:sp>
    <xdr:clientData/>
  </xdr:oneCellAnchor>
  <xdr:twoCellAnchor>
    <xdr:from>
      <xdr:col>14</xdr:col>
      <xdr:colOff>152400</xdr:colOff>
      <xdr:row>22</xdr:row>
      <xdr:rowOff>134471</xdr:rowOff>
    </xdr:from>
    <xdr:to>
      <xdr:col>21</xdr:col>
      <xdr:colOff>537882</xdr:colOff>
      <xdr:row>48</xdr:row>
      <xdr:rowOff>161366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EDB03C41-EAED-4694-AAAF-A50C26B60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116541</xdr:colOff>
      <xdr:row>48</xdr:row>
      <xdr:rowOff>26893</xdr:rowOff>
    </xdr:from>
    <xdr:ext cx="2384612" cy="264560"/>
    <xdr:sp macro="" textlink="">
      <xdr:nvSpPr>
        <xdr:cNvPr id="6" name="TextBox 5"/>
        <xdr:cNvSpPr txBox="1"/>
      </xdr:nvSpPr>
      <xdr:spPr>
        <a:xfrm>
          <a:off x="10381129" y="8633011"/>
          <a:ext cx="23846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0.87624</cdr:x>
      <cdr:y>0.92762</cdr:y>
    </cdr:from>
    <cdr:to>
      <cdr:x>1</cdr:x>
      <cdr:y>0.9875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xdr="http://schemas.openxmlformats.org/drawingml/2006/spreadsheetDrawing" xmlns:mc="http://schemas.openxmlformats.org/markup-compatibility/2006" xmlns:a14="http://schemas.microsoft.com/office/drawing/2010/main" xmlns="" xmlns:a16="http://schemas.microsoft.com/office/drawing/2014/main" xmlns:lc="http://schemas.openxmlformats.org/drawingml/2006/lockedCanvas" id="{79FF46F7-2C53-4D98-B2DC-E8836DC589C0}"/>
            </a:ext>
          </a:extLst>
        </cdr:cNvPr>
        <cdr:cNvSpPr txBox="1"/>
      </cdr:nvSpPr>
      <cdr:spPr>
        <a:xfrm xmlns:a="http://schemas.openxmlformats.org/drawingml/2006/main">
          <a:off x="4159624" y="4365812"/>
          <a:ext cx="567133" cy="28180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800" b="0"/>
            <a:t>L</a:t>
          </a:r>
          <a:r>
            <a:rPr lang="en-US" sz="1800" b="0" i="0">
              <a:latin typeface="Cambria Math" panose="02040503050406030204" pitchFamily="18" charset="0"/>
            </a:rPr>
            <a:t>,[𝑚]</a:t>
          </a:r>
          <a:endParaRPr lang="ru-RU" sz="1800"/>
        </a:p>
      </cdr:txBody>
    </cdr:sp>
  </cdr:relSizeAnchor>
  <cdr:relSizeAnchor xmlns:cdr="http://schemas.openxmlformats.org/drawingml/2006/chartDrawing">
    <cdr:from>
      <cdr:x>0.01761</cdr:x>
      <cdr:y>0.02095</cdr:y>
    </cdr:from>
    <cdr:to>
      <cdr:x>0.14136</cdr:x>
      <cdr:y>0.08083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xdr="http://schemas.openxmlformats.org/drawingml/2006/spreadsheetDrawing" xmlns:mc="http://schemas.openxmlformats.org/markup-compatibility/2006" xmlns:a14="http://schemas.microsoft.com/office/drawing/2010/main" xmlns="" xmlns:a16="http://schemas.microsoft.com/office/drawing/2014/main" xmlns:lc="http://schemas.openxmlformats.org/drawingml/2006/lockedCanvas" id="{68B9E3AF-9F4A-4C1D-8D4B-D1F20765C1FD}"/>
            </a:ext>
          </a:extLst>
        </cdr:cNvPr>
        <cdr:cNvSpPr txBox="1"/>
      </cdr:nvSpPr>
      <cdr:spPr>
        <a:xfrm xmlns:a="http://schemas.openxmlformats.org/drawingml/2006/main">
          <a:off x="80683" y="98612"/>
          <a:ext cx="567133" cy="28180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800" b="0" i="0">
              <a:latin typeface="Cambria Math" panose="02040503050406030204" pitchFamily="18" charset="0"/>
            </a:rPr>
            <a:t>𝑇,[𝐶]</a:t>
          </a:r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3:AJ16"/>
  <sheetViews>
    <sheetView tabSelected="1" zoomScale="80" zoomScaleNormal="80" workbookViewId="0">
      <selection activeCell="W25" sqref="W25"/>
    </sheetView>
  </sheetViews>
  <sheetFormatPr defaultRowHeight="14.4"/>
  <cols>
    <col min="7" max="7" width="12.5546875" bestFit="1" customWidth="1"/>
  </cols>
  <sheetData>
    <row r="3" spans="2:36">
      <c r="B3" s="1" t="s">
        <v>0</v>
      </c>
      <c r="C3" s="1">
        <v>0.1</v>
      </c>
    </row>
    <row r="4" spans="2:36">
      <c r="B4" s="1" t="s">
        <v>1</v>
      </c>
      <c r="C4" s="1">
        <f>C3/30</f>
        <v>3.3333333333333335E-3</v>
      </c>
    </row>
    <row r="5" spans="2:36">
      <c r="B5" s="1" t="s">
        <v>2</v>
      </c>
      <c r="C5" s="1">
        <v>0.43</v>
      </c>
      <c r="H5">
        <f>C6/C5</f>
        <v>139.53488372093022</v>
      </c>
    </row>
    <row r="6" spans="2:36">
      <c r="B6" s="1" t="s">
        <v>3</v>
      </c>
      <c r="C6" s="1">
        <v>60</v>
      </c>
      <c r="D6">
        <v>60.2</v>
      </c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1" t="s">
        <v>9</v>
      </c>
      <c r="C13" s="1">
        <v>100</v>
      </c>
      <c r="E13" t="s">
        <v>7</v>
      </c>
      <c r="F13">
        <f>C12</f>
        <v>300</v>
      </c>
      <c r="G13">
        <v>280.29321910927666</v>
      </c>
      <c r="H13">
        <v>260.76992620624469</v>
      </c>
      <c r="I13">
        <v>241.53714551581209</v>
      </c>
      <c r="J13">
        <v>222.84207649919702</v>
      </c>
      <c r="K13">
        <v>204.7079123846629</v>
      </c>
      <c r="L13">
        <v>187.4289915164546</v>
      </c>
      <c r="M13">
        <v>170.94358487196644</v>
      </c>
      <c r="N13">
        <v>155.57469985957152</v>
      </c>
      <c r="O13">
        <v>141.18090966932513</v>
      </c>
      <c r="P13">
        <v>128.0954363107559</v>
      </c>
      <c r="Q13">
        <v>116.10789194763245</v>
      </c>
      <c r="R13">
        <v>105.54484942154785</v>
      </c>
      <c r="S13">
        <v>96.141750367640611</v>
      </c>
      <c r="T13">
        <v>88.204275016251756</v>
      </c>
      <c r="U13">
        <v>81.430737487071141</v>
      </c>
      <c r="V13">
        <v>76.0947315135884</v>
      </c>
      <c r="W13">
        <v>71.874945509610782</v>
      </c>
      <c r="X13">
        <v>69.004658243588111</v>
      </c>
      <c r="Y13">
        <v>67.159404857464054</v>
      </c>
      <c r="Z13">
        <v>66.526467285105824</v>
      </c>
      <c r="AA13">
        <v>66.792668372921142</v>
      </c>
      <c r="AB13">
        <v>68.095607819509254</v>
      </c>
      <c r="AC13">
        <v>70.145329006594167</v>
      </c>
      <c r="AD13">
        <v>73.027547301287228</v>
      </c>
      <c r="AE13">
        <v>76.484917878539179</v>
      </c>
      <c r="AF13">
        <v>80.550175786705083</v>
      </c>
      <c r="AG13">
        <v>85.005694508489441</v>
      </c>
      <c r="AH13">
        <v>89.831025344161674</v>
      </c>
      <c r="AI13">
        <v>94.853464903053307</v>
      </c>
      <c r="AJ13">
        <f>C13</f>
        <v>100</v>
      </c>
    </row>
    <row r="16" spans="2:36">
      <c r="E16" t="s">
        <v>10</v>
      </c>
      <c r="G16">
        <f>G13+(($C$10*$C$5)/($C$9*$C$8))*( (H13-2*G13+F13)/($C$4^2))</f>
        <v>280.38425738009278</v>
      </c>
      <c r="H16">
        <f>H13+(($C$10*$C$5)/($C$9*$C$8))*( (I13-2*H13+G13)/($C$4^2))</f>
        <v>260.91406495788056</v>
      </c>
      <c r="I16">
        <f t="shared" ref="I16:AI16" si="1">I13+(($C$10*$C$5)/($C$9*$C$8))*( (J13-2*I13+H13)/($C$4^2))</f>
        <v>241.80393323089848</v>
      </c>
      <c r="J16">
        <f t="shared" si="1"/>
        <v>223.12037162369103</v>
      </c>
      <c r="K16">
        <f t="shared" si="1"/>
        <v>205.13224461072457</v>
      </c>
      <c r="L16">
        <f t="shared" si="1"/>
        <v>187.82269665053113</v>
      </c>
      <c r="M16">
        <f t="shared" si="1"/>
        <v>171.49755137404347</v>
      </c>
      <c r="N16">
        <f t="shared" si="1"/>
        <v>156.05849690594522</v>
      </c>
      <c r="O16">
        <f t="shared" si="1"/>
        <v>141.83003609734956</v>
      </c>
      <c r="P16">
        <f t="shared" si="1"/>
        <v>128.64017800465015</v>
      </c>
      <c r="Q16">
        <f t="shared" si="1"/>
        <v>116.8146640129325</v>
      </c>
      <c r="R16">
        <f t="shared" si="1"/>
        <v>106.1203598365897</v>
      </c>
      <c r="S16">
        <f t="shared" si="1"/>
        <v>96.868925204659348</v>
      </c>
      <c r="T16">
        <f t="shared" si="1"/>
        <v>88.781767243424312</v>
      </c>
      <c r="U16">
        <f t="shared" si="1"/>
        <v>82.143974297398159</v>
      </c>
      <c r="V16">
        <f t="shared" si="1"/>
        <v>76.648548344612095</v>
      </c>
      <c r="W16">
        <f t="shared" si="1"/>
        <v>72.544504498826896</v>
      </c>
      <c r="X16">
        <f t="shared" si="1"/>
        <v>69.513232745537806</v>
      </c>
      <c r="Y16">
        <f t="shared" si="1"/>
        <v>67.760900011217103</v>
      </c>
      <c r="Z16">
        <f t="shared" si="1"/>
        <v>66.97257838957654</v>
      </c>
      <c r="AA16">
        <f t="shared" si="1"/>
        <v>67.307050097081486</v>
      </c>
      <c r="AB16">
        <f t="shared" si="1"/>
        <v>68.466126452294205</v>
      </c>
      <c r="AC16">
        <f t="shared" si="1"/>
        <v>70.558375648445903</v>
      </c>
      <c r="AD16">
        <f t="shared" si="1"/>
        <v>73.312911318402982</v>
      </c>
      <c r="AE16">
        <f t="shared" si="1"/>
        <v>76.786523515800326</v>
      </c>
      <c r="AF16">
        <f t="shared" si="1"/>
        <v>80.743805190385004</v>
      </c>
      <c r="AG16">
        <f t="shared" si="1"/>
        <v>85.189178211149198</v>
      </c>
      <c r="AH16">
        <f t="shared" si="1"/>
        <v>89.92882159529745</v>
      </c>
      <c r="AI16">
        <f t="shared" si="1"/>
        <v>94.915035381549856</v>
      </c>
    </row>
  </sheetData>
  <conditionalFormatting sqref="F13:AJ13">
    <cfRule type="colorScale" priority="1">
      <colorScale>
        <cfvo type="min" val="0"/>
        <cfvo type="percentile" val="50"/>
        <cfvo type="max" val="0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3:AJ22"/>
  <sheetViews>
    <sheetView topLeftCell="A4" zoomScale="70" zoomScaleNormal="70" workbookViewId="0">
      <selection activeCell="AA32" sqref="AA32"/>
    </sheetView>
  </sheetViews>
  <sheetFormatPr defaultRowHeight="14.4"/>
  <cols>
    <col min="6" max="6" width="12.6640625" bestFit="1" customWidth="1"/>
    <col min="7" max="7" width="12.5546875" bestFit="1" customWidth="1"/>
  </cols>
  <sheetData>
    <row r="3" spans="2:36">
      <c r="B3" s="1" t="s">
        <v>0</v>
      </c>
      <c r="C3" s="1">
        <v>0.1</v>
      </c>
    </row>
    <row r="4" spans="2:36">
      <c r="B4" s="1" t="s">
        <v>1</v>
      </c>
      <c r="C4" s="1">
        <f>C3/30</f>
        <v>3.3333333333333335E-3</v>
      </c>
    </row>
    <row r="5" spans="2:36">
      <c r="B5" s="1" t="s">
        <v>2</v>
      </c>
      <c r="C5" s="1">
        <f>'Явная схема'!C5</f>
        <v>0.43</v>
      </c>
    </row>
    <row r="6" spans="2:36">
      <c r="B6" s="1" t="s">
        <v>3</v>
      </c>
      <c r="C6" s="1">
        <v>60</v>
      </c>
      <c r="D6">
        <v>60.199999999999996</v>
      </c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1" t="s">
        <v>9</v>
      </c>
      <c r="C13" s="1">
        <v>100</v>
      </c>
      <c r="E13" t="s">
        <v>7</v>
      </c>
      <c r="F13">
        <f>C12</f>
        <v>300</v>
      </c>
      <c r="G13">
        <v>280.19510025568002</v>
      </c>
      <c r="H13">
        <v>260.55855364763556</v>
      </c>
      <c r="I13">
        <v>241.25563913719253</v>
      </c>
      <c r="J13">
        <v>222.44559091154764</v>
      </c>
      <c r="K13">
        <v>204.27882912954198</v>
      </c>
      <c r="L13">
        <v>186.89447860086148</v>
      </c>
      <c r="M13">
        <v>170.4182462591217</v>
      </c>
      <c r="N13">
        <v>154.96070916264765</v>
      </c>
      <c r="O13">
        <v>140.61604360236433</v>
      </c>
      <c r="P13">
        <v>127.4612041899754</v>
      </c>
      <c r="Q13">
        <v>115.55554099909341</v>
      </c>
      <c r="R13">
        <v>104.94082425845797</v>
      </c>
      <c r="S13">
        <v>95.641630832985172</v>
      </c>
      <c r="T13">
        <v>87.666035543430496</v>
      </c>
      <c r="U13">
        <v>81.006543676739355</v>
      </c>
      <c r="V13">
        <v>75.641198862492473</v>
      </c>
      <c r="W13">
        <v>71.534802521890626</v>
      </c>
      <c r="X13">
        <v>68.640186721754901</v>
      </c>
      <c r="Y13">
        <v>66.899490651097665</v>
      </c>
      <c r="Z13">
        <v>66.245401113093095</v>
      </c>
      <c r="AA13">
        <v>66.602328385142783</v>
      </c>
      <c r="AB13">
        <v>67.887499594531619</v>
      </c>
      <c r="AC13">
        <v>70.01196157385391</v>
      </c>
      <c r="AD13">
        <v>72.881493384260949</v>
      </c>
      <c r="AE13">
        <v>76.397434947314252</v>
      </c>
      <c r="AF13">
        <v>80.457442377916465</v>
      </c>
      <c r="AG13">
        <v>84.956182766306043</v>
      </c>
      <c r="AH13">
        <v>89.785981619509357</v>
      </c>
      <c r="AI13">
        <v>94.837435388485503</v>
      </c>
      <c r="AJ13">
        <f>C13</f>
        <v>100</v>
      </c>
    </row>
    <row r="15" spans="2:36">
      <c r="B15" s="4" t="s">
        <v>12</v>
      </c>
      <c r="C15" s="5">
        <f>C10/C4^2</f>
        <v>4139999.9999999991</v>
      </c>
    </row>
    <row r="16" spans="2:36">
      <c r="B16" s="4" t="s">
        <v>13</v>
      </c>
      <c r="C16" s="5">
        <f>(2*C10)/(C4^2)+(C9*C8)/C5</f>
        <v>16624186.046511626</v>
      </c>
      <c r="E16" t="s">
        <v>10</v>
      </c>
      <c r="G16">
        <f t="shared" ref="G16:AH16" si="1">G20*H16+G21</f>
        <v>280.27788485736619</v>
      </c>
      <c r="H16">
        <f t="shared" si="1"/>
        <v>260.72262240030136</v>
      </c>
      <c r="I16">
        <f t="shared" si="1"/>
        <v>241.49804115015971</v>
      </c>
      <c r="J16">
        <f t="shared" si="1"/>
        <v>222.76202209669617</v>
      </c>
      <c r="K16">
        <f t="shared" si="1"/>
        <v>204.66377132337695</v>
      </c>
      <c r="L16">
        <f t="shared" si="1"/>
        <v>187.34137303375604</v>
      </c>
      <c r="M16">
        <f t="shared" si="1"/>
        <v>170.91969220578318</v>
      </c>
      <c r="N16">
        <f t="shared" si="1"/>
        <v>155.50867762689535</v>
      </c>
      <c r="O16">
        <f t="shared" si="1"/>
        <v>141.20209561160755</v>
      </c>
      <c r="P16">
        <f t="shared" si="1"/>
        <v>128.07670369246881</v>
      </c>
      <c r="Q16">
        <f t="shared" si="1"/>
        <v>116.19185340626247</v>
      </c>
      <c r="R16">
        <f t="shared" si="1"/>
        <v>105.58949324303252</v>
      </c>
      <c r="S16">
        <f t="shared" si="1"/>
        <v>96.294527932433468</v>
      </c>
      <c r="T16">
        <f t="shared" si="1"/>
        <v>88.315479256381309</v>
      </c>
      <c r="U16">
        <f t="shared" si="1"/>
        <v>81.645386901005224</v>
      </c>
      <c r="V16">
        <f t="shared" si="1"/>
        <v>76.262885540273572</v>
      </c>
      <c r="W16">
        <f t="shared" si="1"/>
        <v>72.13339608824802</v>
      </c>
      <c r="X16">
        <f t="shared" si="1"/>
        <v>69.210374289345935</v>
      </c>
      <c r="Y16">
        <f t="shared" si="1"/>
        <v>67.436567742952874</v>
      </c>
      <c r="Z16">
        <f t="shared" si="1"/>
        <v>66.745242156888153</v>
      </c>
      <c r="AA16">
        <f t="shared" si="1"/>
        <v>67.061348131960727</v>
      </c>
      <c r="AB16">
        <f t="shared" si="1"/>
        <v>68.302610185891197</v>
      </c>
      <c r="AC16">
        <f t="shared" si="1"/>
        <v>70.3805292456627</v>
      </c>
      <c r="AD16">
        <f t="shared" si="1"/>
        <v>73.201297876521693</v>
      </c>
      <c r="AE16">
        <f t="shared" si="1"/>
        <v>76.666633701084493</v>
      </c>
      <c r="AF16">
        <f t="shared" si="1"/>
        <v>80.674540657277234</v>
      </c>
      <c r="AG16">
        <f t="shared" si="1"/>
        <v>85.120010036987793</v>
      </c>
      <c r="AH16">
        <f t="shared" si="1"/>
        <v>89.895673915746869</v>
      </c>
      <c r="AI16">
        <f>AI20*AJ16+AI21</f>
        <v>94.892423042736638</v>
      </c>
      <c r="AJ16">
        <f>C13</f>
        <v>100</v>
      </c>
    </row>
    <row r="17" spans="2:35">
      <c r="B17" s="4" t="s">
        <v>14</v>
      </c>
      <c r="C17" s="5">
        <f>C15</f>
        <v>4139999.9999999991</v>
      </c>
    </row>
    <row r="18" spans="2:35">
      <c r="E18" t="s">
        <v>11</v>
      </c>
    </row>
    <row r="20" spans="2:35">
      <c r="E20" s="6" t="s">
        <v>15</v>
      </c>
      <c r="F20">
        <v>0</v>
      </c>
      <c r="G20">
        <f>$C$15/($C$16-$C$17*F20)</f>
        <v>0.24903474903474901</v>
      </c>
      <c r="H20">
        <f t="shared" ref="H20:AI20" si="2">$C$15/($C$16-$C$17*G20)</f>
        <v>0.26550064962671294</v>
      </c>
      <c r="I20">
        <f t="shared" si="2"/>
        <v>0.2666664372380797</v>
      </c>
      <c r="J20">
        <f t="shared" si="2"/>
        <v>0.26674936332756222</v>
      </c>
      <c r="K20">
        <f t="shared" si="2"/>
        <v>0.26675526408246575</v>
      </c>
      <c r="L20">
        <f t="shared" si="2"/>
        <v>0.26675568397123278</v>
      </c>
      <c r="M20">
        <f t="shared" si="2"/>
        <v>0.26675571384993085</v>
      </c>
      <c r="N20">
        <f t="shared" si="2"/>
        <v>0.26675571597605752</v>
      </c>
      <c r="O20">
        <f t="shared" si="2"/>
        <v>0.26675571612734972</v>
      </c>
      <c r="P20">
        <f t="shared" si="2"/>
        <v>0.2667557161381155</v>
      </c>
      <c r="Q20">
        <f t="shared" si="2"/>
        <v>0.26675571613888155</v>
      </c>
      <c r="R20">
        <f t="shared" si="2"/>
        <v>0.26675571613893606</v>
      </c>
      <c r="S20">
        <f t="shared" si="2"/>
        <v>0.26675571613893995</v>
      </c>
      <c r="T20">
        <f t="shared" si="2"/>
        <v>0.26675571613894022</v>
      </c>
      <c r="U20">
        <f t="shared" si="2"/>
        <v>0.26675571613894022</v>
      </c>
      <c r="V20">
        <f t="shared" si="2"/>
        <v>0.26675571613894022</v>
      </c>
      <c r="W20">
        <f t="shared" si="2"/>
        <v>0.26675571613894022</v>
      </c>
      <c r="X20">
        <f t="shared" si="2"/>
        <v>0.26675571613894022</v>
      </c>
      <c r="Y20">
        <f t="shared" si="2"/>
        <v>0.26675571613894022</v>
      </c>
      <c r="Z20">
        <f t="shared" si="2"/>
        <v>0.26675571613894022</v>
      </c>
      <c r="AA20">
        <f t="shared" si="2"/>
        <v>0.26675571613894022</v>
      </c>
      <c r="AB20">
        <f t="shared" si="2"/>
        <v>0.26675571613894022</v>
      </c>
      <c r="AC20">
        <f t="shared" si="2"/>
        <v>0.26675571613894022</v>
      </c>
      <c r="AD20">
        <f t="shared" si="2"/>
        <v>0.26675571613894022</v>
      </c>
      <c r="AE20">
        <f t="shared" si="2"/>
        <v>0.26675571613894022</v>
      </c>
      <c r="AF20">
        <f t="shared" si="2"/>
        <v>0.26675571613894022</v>
      </c>
      <c r="AG20">
        <f t="shared" si="2"/>
        <v>0.26675571613894022</v>
      </c>
      <c r="AH20">
        <f t="shared" si="2"/>
        <v>0.26675571613894022</v>
      </c>
      <c r="AI20">
        <f t="shared" si="2"/>
        <v>0.26675571613894022</v>
      </c>
    </row>
    <row r="21" spans="2:35">
      <c r="E21" t="s">
        <v>16</v>
      </c>
      <c r="F21">
        <f>C12</f>
        <v>300</v>
      </c>
      <c r="G21" s="7">
        <f>(F21*$C$17-G22)/($C$16-$C$17*F20)</f>
        <v>215.34889202022552</v>
      </c>
      <c r="H21" s="7">
        <f t="shared" ref="H21:AI21" si="3">(G21*$C$17-H22)/($C$16-$C$17*G20)</f>
        <v>196.60473559135528</v>
      </c>
      <c r="I21" s="7">
        <f t="shared" si="3"/>
        <v>182.09488636568335</v>
      </c>
      <c r="J21" s="7">
        <f t="shared" si="3"/>
        <v>168.16809139996758</v>
      </c>
      <c r="K21" s="7">
        <f t="shared" si="3"/>
        <v>154.68947388618562</v>
      </c>
      <c r="L21" s="7">
        <f t="shared" si="3"/>
        <v>141.74757363524978</v>
      </c>
      <c r="M21" s="7">
        <f t="shared" si="3"/>
        <v>129.43686389556194</v>
      </c>
      <c r="N21" s="7">
        <f t="shared" si="3"/>
        <v>117.84221151470126</v>
      </c>
      <c r="O21" s="7">
        <f t="shared" si="3"/>
        <v>107.03690279889265</v>
      </c>
      <c r="P21" s="7">
        <f t="shared" si="3"/>
        <v>97.081862627666325</v>
      </c>
      <c r="Q21" s="7">
        <f t="shared" si="3"/>
        <v>88.025252519475728</v>
      </c>
      <c r="R21" s="7">
        <f t="shared" si="3"/>
        <v>79.902377484155451</v>
      </c>
      <c r="S21" s="7">
        <f t="shared" si="3"/>
        <v>72.735869017243772</v>
      </c>
      <c r="T21" s="7">
        <f t="shared" si="3"/>
        <v>66.536105604162813</v>
      </c>
      <c r="U21" s="7">
        <f t="shared" si="3"/>
        <v>61.301826253887526</v>
      </c>
      <c r="V21" s="7">
        <f t="shared" si="3"/>
        <v>57.020889809219142</v>
      </c>
      <c r="W21" s="7">
        <f t="shared" si="3"/>
        <v>53.671133130449455</v>
      </c>
      <c r="X21" s="7">
        <f t="shared" si="3"/>
        <v>51.221284367122379</v>
      </c>
      <c r="Y21" s="7">
        <f t="shared" si="3"/>
        <v>49.631892872525192</v>
      </c>
      <c r="Z21" s="7">
        <f t="shared" si="3"/>
        <v>48.856244210704183</v>
      </c>
      <c r="AA21" s="7">
        <f t="shared" si="3"/>
        <v>48.841236437664449</v>
      </c>
      <c r="AB21" s="7">
        <f t="shared" si="3"/>
        <v>49.528201704726818</v>
      </c>
      <c r="AC21" s="7">
        <f t="shared" si="3"/>
        <v>50.853664608311277</v>
      </c>
      <c r="AD21" s="7">
        <f t="shared" si="3"/>
        <v>52.750035099627084</v>
      </c>
      <c r="AE21" s="7">
        <f t="shared" si="3"/>
        <v>55.146238833872452</v>
      </c>
      <c r="AF21" s="7">
        <f t="shared" si="3"/>
        <v>57.968291422106773</v>
      </c>
      <c r="AG21" s="7">
        <f t="shared" si="3"/>
        <v>61.13982516380009</v>
      </c>
      <c r="AH21" s="7">
        <f t="shared" si="3"/>
        <v>64.582577650822387</v>
      </c>
      <c r="AI21" s="7">
        <f t="shared" si="3"/>
        <v>68.216851428842617</v>
      </c>
    </row>
    <row r="22" spans="2:35">
      <c r="E22" t="s">
        <v>17</v>
      </c>
      <c r="F22" s="5">
        <f>-(($C$9*$C$8)/$C$5)*F13</f>
        <v>-2503255813.9534883</v>
      </c>
      <c r="G22" s="5">
        <f t="shared" ref="G22:AI22" si="4">-(($C$9*$C$8)/$C$5)*G13</f>
        <v>-2338000045.854372</v>
      </c>
      <c r="H22" s="5">
        <f t="shared" si="4"/>
        <v>-2174149047.6458521</v>
      </c>
      <c r="I22" s="5">
        <f t="shared" si="4"/>
        <v>-2013081937.7308066</v>
      </c>
      <c r="J22" s="5">
        <f t="shared" si="4"/>
        <v>-1856127395.7921696</v>
      </c>
      <c r="K22" s="5">
        <f t="shared" si="4"/>
        <v>-1704540555.6204572</v>
      </c>
      <c r="L22" s="5">
        <f t="shared" si="4"/>
        <v>-1559482300.5113742</v>
      </c>
      <c r="M22" s="5">
        <f t="shared" si="4"/>
        <v>-1422001552.5063457</v>
      </c>
      <c r="N22" s="5">
        <f t="shared" si="4"/>
        <v>-1293020987.1525111</v>
      </c>
      <c r="O22" s="5">
        <f t="shared" si="4"/>
        <v>-1173326428.9425192</v>
      </c>
      <c r="P22" s="5">
        <f t="shared" si="4"/>
        <v>-1063560001.4735622</v>
      </c>
      <c r="Q22" s="5">
        <f t="shared" si="4"/>
        <v>-964216932.80173755</v>
      </c>
      <c r="R22" s="5">
        <f t="shared" si="4"/>
        <v>-875645761.48685384</v>
      </c>
      <c r="S22" s="5">
        <f t="shared" si="4"/>
        <v>-798051561.46221113</v>
      </c>
      <c r="T22" s="5">
        <f t="shared" si="4"/>
        <v>-731501710.5344851</v>
      </c>
      <c r="U22" s="5">
        <f t="shared" si="4"/>
        <v>-675933671.42358327</v>
      </c>
      <c r="V22" s="5">
        <f t="shared" si="4"/>
        <v>-631164236.08982086</v>
      </c>
      <c r="W22" s="5">
        <f t="shared" si="4"/>
        <v>-596899701.04312456</v>
      </c>
      <c r="X22" s="5">
        <f t="shared" si="4"/>
        <v>-572746488.27362001</v>
      </c>
      <c r="Y22" s="5">
        <f t="shared" si="4"/>
        <v>-558221796.40962422</v>
      </c>
      <c r="Z22" s="5">
        <f t="shared" si="4"/>
        <v>-552763951.61343729</v>
      </c>
      <c r="AA22" s="5">
        <f t="shared" si="4"/>
        <v>-555742219.17649376</v>
      </c>
      <c r="AB22" s="5">
        <f t="shared" si="4"/>
        <v>-566465926.84925449</v>
      </c>
      <c r="AC22" s="5">
        <f t="shared" si="4"/>
        <v>-584192832.85346007</v>
      </c>
      <c r="AD22" s="5">
        <f t="shared" si="4"/>
        <v>-608136740.14587975</v>
      </c>
      <c r="AE22" s="5">
        <f t="shared" si="4"/>
        <v>-637474410.67665935</v>
      </c>
      <c r="AF22" s="5">
        <f t="shared" si="4"/>
        <v>-671351868.02782393</v>
      </c>
      <c r="AG22" s="5">
        <f t="shared" si="4"/>
        <v>-708890194.80350244</v>
      </c>
      <c r="AH22" s="5">
        <f t="shared" si="4"/>
        <v>-749190935.00185943</v>
      </c>
      <c r="AI22" s="5">
        <f t="shared" si="4"/>
        <v>-791341205.05554879</v>
      </c>
    </row>
  </sheetData>
  <conditionalFormatting sqref="F13:AJ13">
    <cfRule type="colorScale" priority="1">
      <colorScale>
        <cfvo type="min" val="0"/>
        <cfvo type="percentile" val="50"/>
        <cfvo type="max" val="0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2015-06-05T18:19:34Z</dcterms:created>
  <dcterms:modified xsi:type="dcterms:W3CDTF">2021-10-25T21:36:13Z</dcterms:modified>
</cp:coreProperties>
</file>
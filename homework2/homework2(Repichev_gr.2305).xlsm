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filterPrivacy="1" codeName="ЭтаКнига"/>
  <bookViews>
    <workbookView xWindow="0" yWindow="0" windowWidth="23040" windowHeight="9384" activeTab="2"/>
  </bookViews>
  <sheets>
    <sheet name="ГУ 1 рода" sheetId="1" r:id="rId1"/>
    <sheet name="ГУ 2 рода" sheetId="2" r:id="rId2"/>
    <sheet name="ГУ 3 рода" sheetId="3" r:id="rId3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2"/>
  <c r="F13" i="3" l="1"/>
  <c r="G15" l="1"/>
  <c r="H15" l="1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J13"/>
  <c r="AI15" s="1"/>
  <c r="H12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G12"/>
  <c r="C5"/>
  <c r="C5" i="2"/>
  <c r="C4" i="3"/>
  <c r="G15" i="1" l="1"/>
  <c r="C5"/>
  <c r="H12" i="2"/>
  <c r="I12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G12"/>
  <c r="C4"/>
  <c r="C4" i="1"/>
  <c r="H15" l="1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3" l="1"/>
  <c r="F13"/>
  <c r="H12"/>
  <c r="I12"/>
  <c r="J12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G12"/>
  <c r="G15" i="2"/>
  <c r="H15"/>
  <c r="P15"/>
  <c r="X15"/>
  <c r="AF15"/>
  <c r="N15"/>
  <c r="V15"/>
  <c r="AD15"/>
  <c r="I15"/>
  <c r="Q15"/>
  <c r="Y15"/>
  <c r="AG15"/>
  <c r="O15"/>
  <c r="W15"/>
  <c r="AE15"/>
  <c r="H16"/>
  <c r="X16"/>
  <c r="Z15"/>
  <c r="AH16"/>
  <c r="AH15"/>
  <c r="U15"/>
  <c r="U16"/>
  <c r="AC15"/>
  <c r="S15"/>
  <c r="AA16"/>
  <c r="AA15"/>
  <c r="Z16"/>
  <c r="AC16"/>
  <c r="S16"/>
  <c r="O16"/>
  <c r="AE16"/>
  <c r="T16"/>
  <c r="T15"/>
  <c r="AB15"/>
  <c r="AB16"/>
  <c r="N16"/>
  <c r="AD16"/>
  <c r="M16"/>
  <c r="M15"/>
  <c r="K16"/>
  <c r="K15"/>
  <c r="L16"/>
  <c r="L15"/>
  <c r="P16"/>
  <c r="AF16"/>
  <c r="J16"/>
  <c r="J15"/>
  <c r="R15"/>
  <c r="R16"/>
  <c r="V16"/>
  <c r="I16"/>
  <c r="Y16"/>
  <c r="AI16"/>
  <c r="AI15"/>
  <c r="Q16"/>
  <c r="AG16"/>
  <c r="W16"/>
  <c r="G16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<sst xmlns="http://schemas.openxmlformats.org/spreadsheetml/2006/main" count="38" uniqueCount="15">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</sst>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"/>
  </numFmts>
  <fonts count="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4" fontId="0" fillId="0" borderId="1" xfId="0" applyNumberFormat="1" applyBorder="1"/>
    <xf numFmtId="1" fontId="0" fillId="0" borderId="0" xfId="0" applyNumberFormat="1"/>
    <xf numFmtId="2" fontId="0" fillId="0" borderId="0" xfId="0" applyNumberFormat="1" applyAlignment="1">
      <alignment horizontal="center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axId val="166280192"/>
        <c:axId val="166318848"/>
      </c:scatterChart>
      <c:valAx>
        <c:axId val="16628019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318848"/>
        <c:crosses val="autoZero"/>
        <c:crossBetween val="midCat"/>
      </c:valAx>
      <c:valAx>
        <c:axId val="166318848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0192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531100811635651"/>
          <c:y val="3.0964491770925955E-2"/>
          <c:w val="0.79799141829891118"/>
          <c:h val="0.85070292801313163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0.00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2E-46B3-BCC9-F9EF02EB1258}"/>
            </c:ext>
          </c:extLst>
        </c:ser>
        <c:axId val="166523264"/>
        <c:axId val="166524800"/>
      </c:scatterChart>
      <c:valAx>
        <c:axId val="16652326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524800"/>
        <c:crosses val="autoZero"/>
        <c:crossBetween val="midCat"/>
      </c:valAx>
      <c:valAx>
        <c:axId val="166524800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52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9.1570118527360148E-2"/>
          <c:y val="5.828780713926196E-2"/>
          <c:w val="0.83031245788652952"/>
          <c:h val="0.89313902024468661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1118.1856555187208</c:v>
                </c:pt>
                <c:pt idx="1">
                  <c:v>1124.1145370804506</c:v>
                </c:pt>
                <c:pt idx="2">
                  <c:v>1130.0542084619703</c:v>
                </c:pt>
                <c:pt idx="3">
                  <c:v>1136.0047116478454</c:v>
                </c:pt>
                <c:pt idx="4">
                  <c:v>1141.9660528377599</c:v>
                </c:pt>
                <c:pt idx="5">
                  <c:v>1147.9382024382721</c:v>
                </c:pt>
                <c:pt idx="6">
                  <c:v>1153.9210951423986</c:v>
                </c:pt>
                <c:pt idx="7">
                  <c:v>1159.9146301692392</c:v>
                </c:pt>
                <c:pt idx="8">
                  <c:v>1165.9186715675264</c:v>
                </c:pt>
                <c:pt idx="9">
                  <c:v>1171.9330486991892</c:v>
                </c:pt>
                <c:pt idx="10">
                  <c:v>1177.957556763798</c:v>
                </c:pt>
                <c:pt idx="11">
                  <c:v>1183.9919575185827</c:v>
                </c:pt>
                <c:pt idx="12">
                  <c:v>1190.0359800181029</c:v>
                </c:pt>
                <c:pt idx="13">
                  <c:v>1196.0893215598217</c:v>
                </c:pt>
                <c:pt idx="14">
                  <c:v>1202.1516486307505</c:v>
                </c:pt>
                <c:pt idx="15">
                  <c:v>1208.2225980644757</c:v>
                </c:pt>
                <c:pt idx="16">
                  <c:v>1214.3017781839876</c:v>
                </c:pt>
                <c:pt idx="17">
                  <c:v>1220.38877015311</c:v>
                </c:pt>
                <c:pt idx="18">
                  <c:v>1226.4831293022448</c:v>
                </c:pt>
                <c:pt idx="19">
                  <c:v>1232.5843866545197</c:v>
                </c:pt>
                <c:pt idx="20">
                  <c:v>1238.6920504187924</c:v>
                </c:pt>
                <c:pt idx="21">
                  <c:v>1244.8056076685389</c:v>
                </c:pt>
                <c:pt idx="22">
                  <c:v>1250.9245259842</c:v>
                </c:pt>
                <c:pt idx="23">
                  <c:v>1257.0482552609037</c:v>
                </c:pt>
                <c:pt idx="24">
                  <c:v>1263.1762294801401</c:v>
                </c:pt>
                <c:pt idx="25">
                  <c:v>1269.3078686208805</c:v>
                </c:pt>
                <c:pt idx="26">
                  <c:v>1275.4425805386468</c:v>
                </c:pt>
                <c:pt idx="27">
                  <c:v>1281.5797629534704</c:v>
                </c:pt>
                <c:pt idx="28">
                  <c:v>1287.7188054127296</c:v>
                </c:pt>
                <c:pt idx="29">
                  <c:v>1293.8590913286801</c:v>
                </c:pt>
                <c:pt idx="30">
                  <c:v>1300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CC1-495B-997E-45F600CE5A86}"/>
            </c:ext>
          </c:extLst>
        </c:ser>
        <c:axId val="166437632"/>
        <c:axId val="166439168"/>
      </c:scatterChart>
      <c:valAx>
        <c:axId val="16643763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439168"/>
        <c:crosses val="autoZero"/>
        <c:crossBetween val="midCat"/>
      </c:valAx>
      <c:valAx>
        <c:axId val="166439168"/>
        <c:scaling>
          <c:orientation val="minMax"/>
          <c:max val="1400"/>
          <c:min val="1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437632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64445</xdr:colOff>
      <xdr:row>16</xdr:row>
      <xdr:rowOff>46659</xdr:rowOff>
    </xdr:from>
    <xdr:ext cx="501613" cy="323456"/>
    <xdr:sp macro="" textlink="">
      <xdr:nvSpPr>
        <xdr:cNvPr id="3" name="TextBox 2"/>
        <xdr:cNvSpPr txBox="1"/>
      </xdr:nvSpPr>
      <xdr:spPr>
        <a:xfrm>
          <a:off x="5115416" y="3007573"/>
          <a:ext cx="501613" cy="32345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xdr:sp macro="" textlink="">
      <xdr:nvSpPr>
        <xdr:cNvPr id="4" name="TextBox 3"/>
        <xdr:cNvSpPr txBox="1"/>
      </xdr:nvSpPr>
      <xdr:spPr>
        <a:xfrm>
          <a:off x="9150625" y="7261088"/>
          <a:ext cx="705679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0">
              <a:latin typeface="Cambria Math" panose="02040503050406030204" pitchFamily="18" charset="0"/>
            </a:rPr>
            <a:t>𝑳,[𝑪]</a:t>
          </a:r>
          <a:endParaRPr lang="ru-RU" sz="1200" b="1" i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202407</xdr:colOff>
      <xdr:row>18</xdr:row>
      <xdr:rowOff>15477</xdr:rowOff>
    </xdr:from>
    <xdr:to>
      <xdr:col>15</xdr:col>
      <xdr:colOff>20053</xdr:colOff>
      <xdr:row>38</xdr:row>
      <xdr:rowOff>120316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260683</xdr:colOff>
      <xdr:row>18</xdr:row>
      <xdr:rowOff>50131</xdr:rowOff>
    </xdr:from>
    <xdr:ext cx="471005" cy="339864"/>
    <xdr:sp macro="" textlink="">
      <xdr:nvSpPr>
        <xdr:cNvPr id="4" name="TextBox 3"/>
        <xdr:cNvSpPr txBox="1"/>
      </xdr:nvSpPr>
      <xdr:spPr>
        <a:xfrm>
          <a:off x="4571999" y="3479131"/>
          <a:ext cx="471005" cy="339864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531395</xdr:colOff>
      <xdr:row>36</xdr:row>
      <xdr:rowOff>140368</xdr:rowOff>
    </xdr:from>
    <xdr:ext cx="705679" cy="281808"/>
    <xdr:sp macro="" textlink="">
      <xdr:nvSpPr>
        <xdr:cNvPr id="6" name="TextBox 5"/>
        <xdr:cNvSpPr txBox="1"/>
      </xdr:nvSpPr>
      <xdr:spPr>
        <a:xfrm>
          <a:off x="8512342" y="6998368"/>
          <a:ext cx="705679" cy="281808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mbria Math" panose="02040503050406030204" pitchFamily="18" charset="0"/>
              <a:ea typeface="+mn-ea"/>
              <a:cs typeface="+mn-cs"/>
            </a:rPr>
            <a:t>𝑳,[𝑪]</a:t>
          </a:r>
          <a:endParaRPr kumimoji="0" lang="ru-RU" sz="1200" b="1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533399</xdr:colOff>
      <xdr:row>17</xdr:row>
      <xdr:rowOff>57148</xdr:rowOff>
    </xdr:from>
    <xdr:to>
      <xdr:col>13</xdr:col>
      <xdr:colOff>223837</xdr:colOff>
      <xdr:row>42</xdr:row>
      <xdr:rowOff>178594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123826</xdr:colOff>
      <xdr:row>17</xdr:row>
      <xdr:rowOff>161925</xdr:rowOff>
    </xdr:from>
    <xdr:ext cx="438149" cy="438150"/>
    <xdr:sp macro="" textlink="">
      <xdr:nvSpPr>
        <xdr:cNvPr id="4" name="TextBox 3"/>
        <xdr:cNvSpPr txBox="1"/>
      </xdr:nvSpPr>
      <xdr:spPr>
        <a:xfrm>
          <a:off x="3829051" y="3238500"/>
          <a:ext cx="438149" cy="438150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130968</xdr:colOff>
      <xdr:row>41</xdr:row>
      <xdr:rowOff>95250</xdr:rowOff>
    </xdr:from>
    <xdr:ext cx="705679" cy="281808"/>
    <xdr:sp macro="" textlink="">
      <xdr:nvSpPr>
        <xdr:cNvPr id="6" name="TextBox 5"/>
        <xdr:cNvSpPr txBox="1"/>
      </xdr:nvSpPr>
      <xdr:spPr>
        <a:xfrm>
          <a:off x="7453312" y="7905750"/>
          <a:ext cx="705679" cy="281808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mbria Math" panose="02040503050406030204" pitchFamily="18" charset="0"/>
              <a:ea typeface="+mn-ea"/>
              <a:cs typeface="+mn-cs"/>
            </a:rPr>
            <a:t>𝑳,[𝑪]</a:t>
          </a:r>
          <a:endParaRPr kumimoji="0" lang="ru-RU" sz="1200" b="1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29"/>
  <sheetViews>
    <sheetView zoomScale="70" zoomScaleNormal="70" workbookViewId="0">
      <selection activeCell="AA22" sqref="AA22"/>
    </sheetView>
  </sheetViews>
  <sheetFormatPr defaultRowHeight="14.4"/>
  <cols>
    <col min="3" max="3" width="9.5546875" bestFit="1" customWidth="1"/>
    <col min="6" max="10" width="7.109375" bestFit="1" customWidth="1"/>
    <col min="11" max="11" width="7.109375" customWidth="1"/>
    <col min="12" max="36" width="7.109375" bestFit="1" customWidth="1"/>
  </cols>
  <sheetData>
    <row r="3" spans="2:36">
      <c r="B3" s="2" t="s">
        <v>0</v>
      </c>
      <c r="C3" s="2">
        <v>0.1</v>
      </c>
    </row>
    <row r="4" spans="2:36">
      <c r="B4" s="2" t="s">
        <v>1</v>
      </c>
      <c r="C4" s="4">
        <f>C3/30</f>
        <v>3.3333333333333335E-3</v>
      </c>
    </row>
    <row r="5" spans="2:36">
      <c r="B5" s="2" t="s">
        <v>2</v>
      </c>
      <c r="C5" s="4">
        <f>(C9*C8*C4^2)/(2*C10)</f>
        <v>0.4333333333333334</v>
      </c>
    </row>
    <row r="6" spans="2:36">
      <c r="B6" s="2" t="s">
        <v>3</v>
      </c>
      <c r="C6" s="2">
        <v>500</v>
      </c>
      <c r="D6">
        <v>500.06666666666672</v>
      </c>
    </row>
    <row r="7" spans="2:36">
      <c r="B7" s="6"/>
      <c r="C7" s="6"/>
    </row>
    <row r="8" spans="2:36">
      <c r="B8" s="2" t="s">
        <v>4</v>
      </c>
      <c r="C8" s="2">
        <v>460</v>
      </c>
    </row>
    <row r="9" spans="2:36">
      <c r="B9" s="5" t="s">
        <v>5</v>
      </c>
      <c r="C9" s="5">
        <v>7800</v>
      </c>
    </row>
    <row r="10" spans="2:36">
      <c r="B10" s="2" t="s">
        <v>6</v>
      </c>
      <c r="C10" s="2">
        <v>46</v>
      </c>
    </row>
    <row r="11" spans="2:36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6">
      <c r="U29" s="7"/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3:AJ16"/>
  <sheetViews>
    <sheetView zoomScale="70" zoomScaleNormal="70" workbookViewId="0">
      <selection activeCell="V30" sqref="V30"/>
    </sheetView>
  </sheetViews>
  <sheetFormatPr defaultRowHeight="14.4"/>
  <cols>
    <col min="3" max="3" width="9.5546875" bestFit="1" customWidth="1"/>
    <col min="4" max="4" width="9.33203125" bestFit="1" customWidth="1"/>
  </cols>
  <sheetData>
    <row r="3" spans="2:36">
      <c r="B3" s="2" t="s">
        <v>0</v>
      </c>
      <c r="C3" s="2">
        <v>0.1</v>
      </c>
    </row>
    <row r="4" spans="2:36">
      <c r="B4" s="2" t="s">
        <v>1</v>
      </c>
      <c r="C4" s="4">
        <f>C3/30</f>
        <v>3.3333333333333335E-3</v>
      </c>
    </row>
    <row r="5" spans="2:36">
      <c r="B5" s="2" t="s">
        <v>2</v>
      </c>
      <c r="C5" s="4">
        <f>(C9*C8*C4^2)/(2*C10)</f>
        <v>0.4333333333333334</v>
      </c>
    </row>
    <row r="6" spans="2:36">
      <c r="B6" s="2" t="s">
        <v>3</v>
      </c>
      <c r="C6" s="2">
        <v>5000</v>
      </c>
      <c r="D6" s="10">
        <v>5000</v>
      </c>
    </row>
    <row r="7" spans="2:36">
      <c r="B7" s="1"/>
      <c r="C7" s="1"/>
    </row>
    <row r="8" spans="2:36">
      <c r="B8" s="2" t="s">
        <v>4</v>
      </c>
      <c r="C8" s="2">
        <v>460</v>
      </c>
    </row>
    <row r="9" spans="2:36">
      <c r="B9" s="2" t="s">
        <v>5</v>
      </c>
      <c r="C9" s="2">
        <v>7800</v>
      </c>
    </row>
    <row r="10" spans="2:36">
      <c r="B10" s="2" t="s">
        <v>6</v>
      </c>
      <c r="C10" s="2">
        <v>46</v>
      </c>
    </row>
    <row r="11" spans="2:36">
      <c r="B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11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2" t="s">
        <v>9</v>
      </c>
      <c r="C13" s="2">
        <v>100</v>
      </c>
      <c r="E13" t="s">
        <v>7</v>
      </c>
      <c r="F13" s="11">
        <v>300</v>
      </c>
      <c r="G13" s="11">
        <v>293.33333333333297</v>
      </c>
      <c r="H13" s="11">
        <v>286.66666666666595</v>
      </c>
      <c r="I13" s="11">
        <v>279.99999999999898</v>
      </c>
      <c r="J13" s="11">
        <v>273.33333333333206</v>
      </c>
      <c r="K13" s="11">
        <v>266.66666666666515</v>
      </c>
      <c r="L13" s="11">
        <v>259.99999999999829</v>
      </c>
      <c r="M13" s="11">
        <v>253.3333333333315</v>
      </c>
      <c r="N13" s="11">
        <v>246.66666666666472</v>
      </c>
      <c r="O13" s="11">
        <v>239.99999999999795</v>
      </c>
      <c r="P13" s="11">
        <v>233.33333333333121</v>
      </c>
      <c r="Q13" s="11">
        <v>226.6666666666645</v>
      </c>
      <c r="R13" s="11">
        <v>219.99999999999778</v>
      </c>
      <c r="S13" s="11">
        <v>213.3333333333311</v>
      </c>
      <c r="T13" s="11">
        <v>206.66666666666444</v>
      </c>
      <c r="U13" s="11">
        <v>199.99999999999778</v>
      </c>
      <c r="V13" s="11">
        <v>193.33333333333115</v>
      </c>
      <c r="W13" s="11">
        <v>186.66666666666453</v>
      </c>
      <c r="X13" s="11">
        <v>179.99999999999793</v>
      </c>
      <c r="Y13" s="11">
        <v>173.33333333333132</v>
      </c>
      <c r="Z13" s="11">
        <v>166.66666666666475</v>
      </c>
      <c r="AA13" s="11">
        <v>159.99999999999821</v>
      </c>
      <c r="AB13" s="11">
        <v>153.33333333333167</v>
      </c>
      <c r="AC13" s="11">
        <v>146.66666666666515</v>
      </c>
      <c r="AD13" s="11">
        <v>139.99999999999866</v>
      </c>
      <c r="AE13" s="11">
        <v>133.33333333333218</v>
      </c>
      <c r="AF13" s="11">
        <v>126.66666666666573</v>
      </c>
      <c r="AG13" s="11">
        <v>119.99999999999929</v>
      </c>
      <c r="AH13" s="11">
        <v>113.33333333333286</v>
      </c>
      <c r="AI13" s="11">
        <v>106.66666666666643</v>
      </c>
      <c r="AJ13" s="11">
        <v>100</v>
      </c>
    </row>
    <row r="15" spans="2:36">
      <c r="E15" t="s">
        <v>10</v>
      </c>
      <c r="F15" s="1"/>
      <c r="G15" s="1">
        <f>G13+(($C$10*$C$5)/($C$9*$C$8))*((H13-2*G13+F13)/($C$4^2))</f>
        <v>293.33333333333297</v>
      </c>
      <c r="H15" s="1">
        <f t="shared" ref="H15:AI15" si="1">H13+(($C$10*$C$5)/($C$9*$C$8))*((I13-2*H13+G13)/($C$4^2))</f>
        <v>286.66666666666595</v>
      </c>
      <c r="I15" s="1">
        <f t="shared" si="1"/>
        <v>279.99999999999898</v>
      </c>
      <c r="J15" s="1">
        <f t="shared" si="1"/>
        <v>273.33333333333206</v>
      </c>
      <c r="K15" s="1">
        <f t="shared" si="1"/>
        <v>266.66666666666515</v>
      </c>
      <c r="L15" s="1">
        <f t="shared" si="1"/>
        <v>259.99999999999829</v>
      </c>
      <c r="M15" s="1">
        <f t="shared" si="1"/>
        <v>253.3333333333315</v>
      </c>
      <c r="N15" s="1">
        <f t="shared" si="1"/>
        <v>246.66666666666472</v>
      </c>
      <c r="O15" s="1">
        <f t="shared" si="1"/>
        <v>239.99999999999795</v>
      </c>
      <c r="P15" s="1">
        <f t="shared" si="1"/>
        <v>233.33333333333121</v>
      </c>
      <c r="Q15" s="1">
        <f t="shared" si="1"/>
        <v>226.6666666666645</v>
      </c>
      <c r="R15" s="1">
        <f t="shared" si="1"/>
        <v>219.99999999999778</v>
      </c>
      <c r="S15" s="1">
        <f t="shared" si="1"/>
        <v>213.3333333333311</v>
      </c>
      <c r="T15" s="1">
        <f t="shared" si="1"/>
        <v>206.66666666666444</v>
      </c>
      <c r="U15" s="1">
        <f t="shared" si="1"/>
        <v>199.99999999999778</v>
      </c>
      <c r="V15" s="1">
        <f t="shared" si="1"/>
        <v>193.33333333333115</v>
      </c>
      <c r="W15" s="1">
        <f t="shared" si="1"/>
        <v>186.66666666666453</v>
      </c>
      <c r="X15" s="1">
        <f t="shared" si="1"/>
        <v>179.99999999999793</v>
      </c>
      <c r="Y15" s="1">
        <f t="shared" si="1"/>
        <v>173.33333333333132</v>
      </c>
      <c r="Z15" s="1">
        <f t="shared" si="1"/>
        <v>166.66666666666475</v>
      </c>
      <c r="AA15" s="1">
        <f t="shared" si="1"/>
        <v>159.99999999999821</v>
      </c>
      <c r="AB15" s="1">
        <f t="shared" si="1"/>
        <v>153.33333333333167</v>
      </c>
      <c r="AC15" s="1">
        <f t="shared" si="1"/>
        <v>146.66666666666515</v>
      </c>
      <c r="AD15" s="1">
        <f t="shared" si="1"/>
        <v>139.99999999999866</v>
      </c>
      <c r="AE15" s="1">
        <f t="shared" si="1"/>
        <v>133.33333333333218</v>
      </c>
      <c r="AF15" s="1">
        <f t="shared" si="1"/>
        <v>126.66666666666573</v>
      </c>
      <c r="AG15" s="1">
        <f t="shared" si="1"/>
        <v>119.99999999999929</v>
      </c>
      <c r="AH15" s="1">
        <f t="shared" si="1"/>
        <v>113.33333333333286</v>
      </c>
      <c r="AI15" s="1">
        <f t="shared" si="1"/>
        <v>106.66666666666643</v>
      </c>
    </row>
    <row r="16" spans="2:36">
      <c r="E16" t="s">
        <v>12</v>
      </c>
      <c r="F16" s="1">
        <f>C12</f>
        <v>92000</v>
      </c>
      <c r="G16" s="1">
        <f>-$C$10*((G13-F13)/$C$4)</f>
        <v>92000.000000004962</v>
      </c>
      <c r="H16" s="1">
        <f t="shared" ref="H16:AI16" si="2">-$C$10*((H13-G13)/$C$4)</f>
        <v>92000.000000004962</v>
      </c>
      <c r="I16" s="1">
        <f t="shared" si="2"/>
        <v>92000.000000004176</v>
      </c>
      <c r="J16" s="1">
        <f t="shared" si="2"/>
        <v>92000.000000003391</v>
      </c>
      <c r="K16" s="1">
        <f t="shared" si="2"/>
        <v>92000.000000003391</v>
      </c>
      <c r="L16" s="1">
        <f t="shared" si="2"/>
        <v>92000.000000002605</v>
      </c>
      <c r="M16" s="1">
        <f t="shared" si="2"/>
        <v>92000.000000001819</v>
      </c>
      <c r="N16" s="1">
        <f t="shared" si="2"/>
        <v>92000.000000001426</v>
      </c>
      <c r="O16" s="1">
        <f t="shared" si="2"/>
        <v>92000.000000001426</v>
      </c>
      <c r="P16" s="1">
        <f t="shared" si="2"/>
        <v>92000.000000001033</v>
      </c>
      <c r="Q16" s="1">
        <f t="shared" si="2"/>
        <v>92000.000000000655</v>
      </c>
      <c r="R16" s="1">
        <f t="shared" si="2"/>
        <v>92000.000000000655</v>
      </c>
      <c r="S16" s="1">
        <f t="shared" si="2"/>
        <v>92000.000000000247</v>
      </c>
      <c r="T16" s="1">
        <f t="shared" si="2"/>
        <v>91999.999999999869</v>
      </c>
      <c r="U16" s="1">
        <f t="shared" si="2"/>
        <v>91999.999999999869</v>
      </c>
      <c r="V16" s="1">
        <f t="shared" si="2"/>
        <v>91999.999999999462</v>
      </c>
      <c r="W16" s="1">
        <f t="shared" si="2"/>
        <v>91999.999999999462</v>
      </c>
      <c r="X16" s="1">
        <f t="shared" si="2"/>
        <v>91999.999999999083</v>
      </c>
      <c r="Y16" s="1">
        <f t="shared" si="2"/>
        <v>91999.999999999083</v>
      </c>
      <c r="Z16" s="1">
        <f t="shared" si="2"/>
        <v>91999.999999998676</v>
      </c>
      <c r="AA16" s="1">
        <f t="shared" si="2"/>
        <v>91999.999999998297</v>
      </c>
      <c r="AB16" s="1">
        <f t="shared" si="2"/>
        <v>91999.999999998297</v>
      </c>
      <c r="AC16" s="1">
        <f t="shared" si="2"/>
        <v>91999.999999997905</v>
      </c>
      <c r="AD16" s="1">
        <f t="shared" si="2"/>
        <v>91999.999999997512</v>
      </c>
      <c r="AE16" s="1">
        <f t="shared" si="2"/>
        <v>91999.999999997512</v>
      </c>
      <c r="AF16" s="1">
        <f t="shared" si="2"/>
        <v>91999.99999999693</v>
      </c>
      <c r="AG16" s="1">
        <f t="shared" si="2"/>
        <v>91999.99999999693</v>
      </c>
      <c r="AH16" s="1">
        <f t="shared" si="2"/>
        <v>91999.999999996726</v>
      </c>
      <c r="AI16" s="1">
        <f t="shared" si="2"/>
        <v>91999.999999996726</v>
      </c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3:AJ15"/>
  <sheetViews>
    <sheetView tabSelected="1" zoomScale="80" zoomScaleNormal="80" workbookViewId="0">
      <selection activeCell="R27" sqref="R27"/>
    </sheetView>
  </sheetViews>
  <sheetFormatPr defaultRowHeight="14.4"/>
  <cols>
    <col min="3" max="3" width="9.5546875" bestFit="1" customWidth="1"/>
  </cols>
  <sheetData>
    <row r="3" spans="2:36">
      <c r="B3" s="2" t="s">
        <v>0</v>
      </c>
      <c r="C3" s="2">
        <v>0.1</v>
      </c>
    </row>
    <row r="4" spans="2:36">
      <c r="B4" s="2" t="s">
        <v>1</v>
      </c>
      <c r="C4" s="3">
        <f>C3/30</f>
        <v>3.3333333333333335E-3</v>
      </c>
    </row>
    <row r="5" spans="2:36">
      <c r="B5" s="2" t="s">
        <v>2</v>
      </c>
      <c r="C5" s="3">
        <f>(C9*C8*C4^2)/(2*C10)</f>
        <v>0.4333333333333334</v>
      </c>
    </row>
    <row r="6" spans="2:36">
      <c r="B6" s="2" t="s">
        <v>3</v>
      </c>
      <c r="C6" s="2">
        <v>1600</v>
      </c>
      <c r="D6">
        <v>1600.3000000000002</v>
      </c>
    </row>
    <row r="7" spans="2:36">
      <c r="B7" s="1"/>
    </row>
    <row r="8" spans="2:36">
      <c r="B8" s="2" t="s">
        <v>4</v>
      </c>
      <c r="C8" s="2">
        <v>460</v>
      </c>
    </row>
    <row r="9" spans="2:36">
      <c r="B9" s="2" t="s">
        <v>5</v>
      </c>
      <c r="C9" s="2">
        <v>7800</v>
      </c>
    </row>
    <row r="10" spans="2:36">
      <c r="B10" s="2" t="s">
        <v>6</v>
      </c>
      <c r="C10" s="2">
        <v>46</v>
      </c>
    </row>
    <row r="11" spans="2:36">
      <c r="B11" s="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>
      <c r="B12" s="2" t="s">
        <v>13</v>
      </c>
      <c r="C12" s="2">
        <v>300</v>
      </c>
      <c r="E12" t="s">
        <v>0</v>
      </c>
      <c r="F12" s="8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2:36">
      <c r="B13" s="2" t="s">
        <v>9</v>
      </c>
      <c r="C13" s="2">
        <v>1300</v>
      </c>
      <c r="E13" t="s">
        <v>7</v>
      </c>
      <c r="F13" s="12">
        <f>(G13+$C$12*$C$14*$C$4/$C$10)/(1+$C$14*$C$4/$C$10)</f>
        <v>1118.1856555187208</v>
      </c>
      <c r="G13">
        <v>1124.1145370804506</v>
      </c>
      <c r="H13">
        <v>1130.0542084619703</v>
      </c>
      <c r="I13">
        <v>1136.0047116478454</v>
      </c>
      <c r="J13">
        <v>1141.9660528377599</v>
      </c>
      <c r="K13">
        <v>1147.9382024382721</v>
      </c>
      <c r="L13">
        <v>1153.9210951423986</v>
      </c>
      <c r="M13">
        <v>1159.9146301692392</v>
      </c>
      <c r="N13">
        <v>1165.9186715675264</v>
      </c>
      <c r="O13">
        <v>1171.9330486991892</v>
      </c>
      <c r="P13">
        <v>1177.957556763798</v>
      </c>
      <c r="Q13">
        <v>1183.9919575185827</v>
      </c>
      <c r="R13">
        <v>1190.0359800181029</v>
      </c>
      <c r="S13">
        <v>1196.0893215598217</v>
      </c>
      <c r="T13">
        <v>1202.1516486307505</v>
      </c>
      <c r="U13">
        <v>1208.2225980644757</v>
      </c>
      <c r="V13">
        <v>1214.3017781839876</v>
      </c>
      <c r="W13">
        <v>1220.38877015311</v>
      </c>
      <c r="X13">
        <v>1226.4831293022448</v>
      </c>
      <c r="Y13">
        <v>1232.5843866545197</v>
      </c>
      <c r="Z13">
        <v>1238.6920504187924</v>
      </c>
      <c r="AA13">
        <v>1244.8056076685389</v>
      </c>
      <c r="AB13">
        <v>1250.9245259842</v>
      </c>
      <c r="AC13">
        <v>1257.0482552609037</v>
      </c>
      <c r="AD13">
        <v>1263.1762294801401</v>
      </c>
      <c r="AE13">
        <v>1269.3078686208805</v>
      </c>
      <c r="AF13">
        <v>1275.4425805386468</v>
      </c>
      <c r="AG13">
        <v>1281.5797629534704</v>
      </c>
      <c r="AH13">
        <v>1287.7188054127296</v>
      </c>
      <c r="AI13">
        <v>1293.8590913286801</v>
      </c>
      <c r="AJ13">
        <f>C13</f>
        <v>1300</v>
      </c>
    </row>
    <row r="14" spans="2:36">
      <c r="B14" s="2" t="s">
        <v>14</v>
      </c>
      <c r="C14" s="2">
        <v>100</v>
      </c>
    </row>
    <row r="15" spans="2:36">
      <c r="E15" t="s">
        <v>10</v>
      </c>
      <c r="G15">
        <f>G13+(($C$10*$C$5)/($C$9*$C$8))*( (H13-2*G13+F13)/($C$4^2))</f>
        <v>1124.1199319903455</v>
      </c>
      <c r="H15">
        <f t="shared" ref="H15:AI15" si="1">H13+(($C$10*$C$5)/($C$9*$C$8))*( (I13-2*H13+G13)/($C$4^2))</f>
        <v>1130.059624364148</v>
      </c>
      <c r="I15">
        <f t="shared" si="1"/>
        <v>1136.010130649865</v>
      </c>
      <c r="J15">
        <f t="shared" si="1"/>
        <v>1141.9714570430588</v>
      </c>
      <c r="K15">
        <f t="shared" si="1"/>
        <v>1147.9435739900791</v>
      </c>
      <c r="L15">
        <f t="shared" si="1"/>
        <v>1153.9264163037556</v>
      </c>
      <c r="M15">
        <f t="shared" si="1"/>
        <v>1159.9198833549626</v>
      </c>
      <c r="N15">
        <f t="shared" si="1"/>
        <v>1165.9238394342142</v>
      </c>
      <c r="O15">
        <f t="shared" si="1"/>
        <v>1171.9381141656622</v>
      </c>
      <c r="P15">
        <f t="shared" si="1"/>
        <v>1177.9625031088858</v>
      </c>
      <c r="Q15">
        <f t="shared" si="1"/>
        <v>1183.9967683909504</v>
      </c>
      <c r="R15">
        <f t="shared" si="1"/>
        <v>1190.0406395392022</v>
      </c>
      <c r="S15">
        <f t="shared" si="1"/>
        <v>1196.0938143244266</v>
      </c>
      <c r="T15">
        <f t="shared" si="1"/>
        <v>1202.1559598121487</v>
      </c>
      <c r="U15">
        <f t="shared" si="1"/>
        <v>1208.2267134073691</v>
      </c>
      <c r="V15">
        <f t="shared" si="1"/>
        <v>1214.3056841087928</v>
      </c>
      <c r="W15">
        <f t="shared" si="1"/>
        <v>1220.3924537431162</v>
      </c>
      <c r="X15">
        <f t="shared" si="1"/>
        <v>1226.4865784038147</v>
      </c>
      <c r="Y15">
        <f t="shared" si="1"/>
        <v>1232.5875898605186</v>
      </c>
      <c r="Z15">
        <f t="shared" si="1"/>
        <v>1238.6949971615293</v>
      </c>
      <c r="AA15">
        <f t="shared" si="1"/>
        <v>1244.8082882014962</v>
      </c>
      <c r="AB15">
        <f t="shared" si="1"/>
        <v>1250.9269314647213</v>
      </c>
      <c r="AC15">
        <f t="shared" si="1"/>
        <v>1257.0503777321701</v>
      </c>
      <c r="AD15">
        <f t="shared" si="1"/>
        <v>1263.1780619408921</v>
      </c>
      <c r="AE15">
        <f t="shared" si="1"/>
        <v>1269.3094050093935</v>
      </c>
      <c r="AF15">
        <f t="shared" si="1"/>
        <v>1275.4438157871755</v>
      </c>
      <c r="AG15">
        <f t="shared" si="1"/>
        <v>1281.5806929756882</v>
      </c>
      <c r="AH15">
        <f t="shared" si="1"/>
        <v>1287.7194271410754</v>
      </c>
      <c r="AI15">
        <f t="shared" si="1"/>
        <v>1293.8594027063648</v>
      </c>
    </row>
  </sheetData>
  <conditionalFormatting sqref="F13:AJ13">
    <cfRule type="colorScale" priority="3">
      <colorScale>
        <cfvo type="min" val="0"/>
        <cfvo type="percentile" val="50"/>
        <cfvo type="max" val="0"/>
        <color rgb="FF00B0F0"/>
        <color rgb="FFFFEB84"/>
        <color rgb="FFFF0000"/>
      </colorScale>
    </cfRule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conditionalFormatting sqref="F13">
    <cfRule type="colorScale" priority="2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2021-10-11T18:01:23Z</dcterms:modified>
</cp:coreProperties>
</file>